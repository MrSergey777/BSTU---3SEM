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Лабы\Тервер------\1\"/>
    </mc:Choice>
  </mc:AlternateContent>
  <xr:revisionPtr revIDLastSave="0" documentId="13_ncr:1_{0F680D5D-7133-4CF5-89D3-0A7F7C6178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34" i="1"/>
  <c r="F35" i="1"/>
  <c r="F36" i="1"/>
  <c r="F37" i="1"/>
  <c r="F32" i="1"/>
  <c r="E33" i="1"/>
  <c r="E34" i="1"/>
  <c r="E35" i="1"/>
  <c r="E36" i="1"/>
  <c r="E37" i="1"/>
  <c r="E32" i="1"/>
  <c r="A37" i="1"/>
  <c r="A36" i="1"/>
  <c r="A35" i="1"/>
  <c r="M21" i="1"/>
  <c r="M22" i="1" s="1"/>
  <c r="K20" i="1"/>
  <c r="K21" i="1"/>
  <c r="K22" i="1"/>
  <c r="K23" i="1"/>
  <c r="K24" i="1"/>
  <c r="K25" i="1"/>
  <c r="K26" i="1"/>
  <c r="K19" i="1"/>
  <c r="H20" i="1"/>
  <c r="H21" i="1"/>
  <c r="H22" i="1"/>
  <c r="H23" i="1"/>
  <c r="H24" i="1"/>
  <c r="H25" i="1"/>
  <c r="H26" i="1"/>
  <c r="H19" i="1"/>
  <c r="J22" i="1"/>
  <c r="F20" i="1"/>
  <c r="F21" i="1"/>
  <c r="F22" i="1"/>
  <c r="F23" i="1"/>
  <c r="F24" i="1"/>
  <c r="F25" i="1"/>
  <c r="F26" i="1"/>
  <c r="F19" i="1"/>
  <c r="E20" i="1"/>
  <c r="E21" i="1"/>
  <c r="E22" i="1"/>
  <c r="E23" i="1"/>
  <c r="E24" i="1"/>
  <c r="E25" i="1"/>
  <c r="E26" i="1"/>
  <c r="E19" i="1"/>
  <c r="D20" i="1"/>
  <c r="D21" i="1"/>
  <c r="D22" i="1"/>
  <c r="D23" i="1"/>
  <c r="D24" i="1"/>
  <c r="D25" i="1"/>
  <c r="D26" i="1"/>
  <c r="D19" i="1"/>
  <c r="G19" i="1"/>
  <c r="C20" i="1"/>
  <c r="C21" i="1"/>
  <c r="C22" i="1"/>
  <c r="C23" i="1"/>
  <c r="C24" i="1"/>
  <c r="C25" i="1"/>
  <c r="C26" i="1"/>
  <c r="C19" i="1"/>
  <c r="B21" i="1"/>
  <c r="A22" i="1" s="1"/>
  <c r="B22" i="1" s="1"/>
  <c r="A23" i="1" s="1"/>
  <c r="B23" i="1" s="1"/>
  <c r="A24" i="1" s="1"/>
  <c r="B24" i="1" s="1"/>
  <c r="A25" i="1" s="1"/>
  <c r="B25" i="1" s="1"/>
  <c r="A26" i="1" s="1"/>
  <c r="B26" i="1" s="1"/>
  <c r="A21" i="1"/>
  <c r="A20" i="1"/>
  <c r="B20" i="1" s="1"/>
  <c r="B19" i="1"/>
  <c r="A19" i="1"/>
  <c r="D14" i="1"/>
  <c r="F14" i="1" s="1"/>
  <c r="B14" i="1"/>
</calcChain>
</file>

<file path=xl/sharedStrings.xml><?xml version="1.0" encoding="utf-8"?>
<sst xmlns="http://schemas.openxmlformats.org/spreadsheetml/2006/main" count="27" uniqueCount="24">
  <si>
    <t xml:space="preserve"> </t>
  </si>
  <si>
    <t xml:space="preserve">Количество интервалов </t>
  </si>
  <si>
    <t xml:space="preserve">к  =  </t>
  </si>
  <si>
    <t xml:space="preserve">min = </t>
  </si>
  <si>
    <t>max =</t>
  </si>
  <si>
    <t xml:space="preserve">W = </t>
  </si>
  <si>
    <t>Длина интервалов</t>
  </si>
  <si>
    <t>H =</t>
  </si>
  <si>
    <t>Интервальный статистический ряд</t>
  </si>
  <si>
    <t>Xi+1)</t>
  </si>
  <si>
    <t>Xi*</t>
  </si>
  <si>
    <t>[Xi;</t>
  </si>
  <si>
    <t>ni/n</t>
  </si>
  <si>
    <t>ni/n*h</t>
  </si>
  <si>
    <t>ni</t>
  </si>
  <si>
    <t>Хвыб П</t>
  </si>
  <si>
    <t xml:space="preserve">Хвыб = </t>
  </si>
  <si>
    <t>Dв</t>
  </si>
  <si>
    <t>Dв=</t>
  </si>
  <si>
    <t>+</t>
  </si>
  <si>
    <t>-</t>
  </si>
  <si>
    <t>pi</t>
  </si>
  <si>
    <t>ni - n*pi</t>
  </si>
  <si>
    <t>n*pi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</si>
</sst>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2" fontId="0" fillId="0" borderId="0" xfId="0" applyNumberFormat="1"/>
    <xf numFmtId="0" fontId="1" fillId="2" borderId="0" xfId="0" applyFont="1" applyFill="1" applyAlignment="1">
      <alignment horizontal="right" vertical="center"/>
    </xf>
    <xf numFmtId="0" fontId="0" fillId="4" borderId="0" xfId="0" applyFill="1"/>
    <xf numFmtId="0" fontId="4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2" fontId="0" fillId="5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4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относительных частот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>
        <c:manualLayout>
          <c:layoutTarget val="inner"/>
          <c:xMode val="edge"/>
          <c:yMode val="edge"/>
          <c:x val="9.537270341207349E-2"/>
          <c:y val="0.17634259259259263"/>
          <c:w val="0.8712939632545931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Лист1!$A$19:$A$26</c:f>
              <c:numCache>
                <c:formatCode>0.00</c:formatCode>
                <c:ptCount val="8"/>
                <c:pt idx="0">
                  <c:v>7</c:v>
                </c:pt>
                <c:pt idx="1">
                  <c:v>11.3</c:v>
                </c:pt>
                <c:pt idx="2">
                  <c:v>15.600000000000001</c:v>
                </c:pt>
                <c:pt idx="3">
                  <c:v>19.900000000000002</c:v>
                </c:pt>
                <c:pt idx="4">
                  <c:v>24.200000000000003</c:v>
                </c:pt>
                <c:pt idx="5">
                  <c:v>28.500000000000004</c:v>
                </c:pt>
                <c:pt idx="6">
                  <c:v>32.800000000000004</c:v>
                </c:pt>
                <c:pt idx="7">
                  <c:v>37.1</c:v>
                </c:pt>
              </c:numCache>
            </c:numRef>
          </c:cat>
          <c:val>
            <c:numRef>
              <c:f>Лист1!$E$19:$E$26</c:f>
              <c:numCache>
                <c:formatCode>0.000</c:formatCode>
                <c:ptCount val="8"/>
                <c:pt idx="0">
                  <c:v>9.3023255813953487E-3</c:v>
                </c:pt>
                <c:pt idx="1">
                  <c:v>1.6279069767441864E-2</c:v>
                </c:pt>
                <c:pt idx="2">
                  <c:v>4.1860465116279069E-2</c:v>
                </c:pt>
                <c:pt idx="3">
                  <c:v>4.1860465116279069E-2</c:v>
                </c:pt>
                <c:pt idx="4">
                  <c:v>4.4186046511627906E-2</c:v>
                </c:pt>
                <c:pt idx="5">
                  <c:v>3.4883720930232558E-2</c:v>
                </c:pt>
                <c:pt idx="6">
                  <c:v>3.4883720930232558E-2</c:v>
                </c:pt>
                <c:pt idx="7">
                  <c:v>9.3023255813953487E-3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A-4A71-9462-E562FF274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673215"/>
        <c:axId val="757678495"/>
      </c:barChart>
      <c:catAx>
        <c:axId val="75767321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57678495"/>
        <c:crosses val="autoZero"/>
        <c:auto val="1"/>
        <c:lblAlgn val="ctr"/>
        <c:lblOffset val="100"/>
        <c:noMultiLvlLbl val="0"/>
      </c:catAx>
      <c:valAx>
        <c:axId val="75767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75767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259080</xdr:colOff>
      <xdr:row>15</xdr:row>
      <xdr:rowOff>140970</xdr:rowOff>
    </xdr:from>
    <xdr:to>
      <xdr:col>20</xdr:col>
      <xdr:colOff>563880</xdr:colOff>
      <xdr:row>30</xdr:row>
      <xdr:rowOff>125730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81B35DB-888D-1D1C-3B42-50982F19A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topLeftCell="A23" workbookViewId="0">
      <selection activeCell="H31" sqref="H31"/>
    </sheetView>
  </sheetViews>
  <sheetFormatPr defaultRowHeight="14.4" x14ac:dyDescent="0.3"/>
  <sheetData>
    <row r="1" spans="1:10" ht="15" x14ac:dyDescent="0.3">
      <c r="A1" s="8">
        <v>21</v>
      </c>
      <c r="B1" s="8">
        <v>23</v>
      </c>
      <c r="C1" s="8">
        <v>17</v>
      </c>
      <c r="D1" s="8">
        <v>27</v>
      </c>
      <c r="E1" s="8">
        <v>26</v>
      </c>
      <c r="F1" s="8">
        <v>28</v>
      </c>
      <c r="G1" s="8">
        <v>34</v>
      </c>
      <c r="H1" s="8">
        <v>16</v>
      </c>
      <c r="I1" s="8">
        <v>28</v>
      </c>
      <c r="J1" s="8">
        <v>31</v>
      </c>
    </row>
    <row r="2" spans="1:10" ht="15" x14ac:dyDescent="0.3">
      <c r="A2" s="8">
        <v>23</v>
      </c>
      <c r="B2" s="8">
        <v>34</v>
      </c>
      <c r="C2" s="8">
        <v>33</v>
      </c>
      <c r="D2" s="8">
        <v>26</v>
      </c>
      <c r="E2" s="8">
        <v>35</v>
      </c>
      <c r="F2" s="8">
        <v>23</v>
      </c>
      <c r="G2" s="8">
        <v>29</v>
      </c>
      <c r="H2" s="8">
        <v>28</v>
      </c>
      <c r="I2" s="8">
        <v>20</v>
      </c>
      <c r="J2" s="8">
        <v>29</v>
      </c>
    </row>
    <row r="3" spans="1:10" ht="15" x14ac:dyDescent="0.3">
      <c r="A3" s="8">
        <v>21</v>
      </c>
      <c r="B3" s="8">
        <v>7</v>
      </c>
      <c r="C3" s="8">
        <v>18</v>
      </c>
      <c r="D3" s="8">
        <v>38</v>
      </c>
      <c r="E3" s="8">
        <v>26</v>
      </c>
      <c r="F3" s="8">
        <v>34</v>
      </c>
      <c r="G3" s="8">
        <v>19</v>
      </c>
      <c r="H3" s="8">
        <v>28</v>
      </c>
      <c r="I3" s="8">
        <v>23</v>
      </c>
      <c r="J3" s="8">
        <v>27</v>
      </c>
    </row>
    <row r="4" spans="1:10" ht="15" x14ac:dyDescent="0.3">
      <c r="A4" s="8">
        <v>27</v>
      </c>
      <c r="B4" s="8">
        <v>33</v>
      </c>
      <c r="C4" s="8">
        <v>22</v>
      </c>
      <c r="D4" s="8">
        <v>32</v>
      </c>
      <c r="E4" s="8">
        <v>17</v>
      </c>
      <c r="F4" s="8">
        <v>23</v>
      </c>
      <c r="G4" s="8">
        <v>29</v>
      </c>
      <c r="H4" s="8">
        <v>27</v>
      </c>
      <c r="I4" s="8">
        <v>19</v>
      </c>
      <c r="J4" s="8">
        <v>21</v>
      </c>
    </row>
    <row r="5" spans="1:10" ht="15" x14ac:dyDescent="0.3">
      <c r="A5" s="8">
        <v>27</v>
      </c>
      <c r="B5" s="8">
        <v>19</v>
      </c>
      <c r="C5" s="8">
        <v>30</v>
      </c>
      <c r="D5" s="8">
        <v>9</v>
      </c>
      <c r="E5" s="8">
        <v>35</v>
      </c>
      <c r="F5" s="8">
        <v>21</v>
      </c>
      <c r="G5" s="8">
        <v>19</v>
      </c>
      <c r="H5" s="8">
        <v>22</v>
      </c>
      <c r="I5" s="8">
        <v>18</v>
      </c>
      <c r="J5" s="8">
        <v>26</v>
      </c>
    </row>
    <row r="6" spans="1:10" ht="15" x14ac:dyDescent="0.3">
      <c r="A6" s="8">
        <v>32</v>
      </c>
      <c r="B6" s="8">
        <v>28</v>
      </c>
      <c r="C6" s="8">
        <v>13</v>
      </c>
      <c r="D6" s="8">
        <v>18</v>
      </c>
      <c r="E6" s="8">
        <v>10</v>
      </c>
      <c r="F6" s="8">
        <v>19</v>
      </c>
      <c r="G6" s="8">
        <v>16</v>
      </c>
      <c r="H6" s="8">
        <v>37</v>
      </c>
      <c r="I6" s="8">
        <v>17</v>
      </c>
      <c r="J6" s="8">
        <v>30</v>
      </c>
    </row>
    <row r="7" spans="1:10" ht="15" x14ac:dyDescent="0.3">
      <c r="A7" s="8">
        <v>14</v>
      </c>
      <c r="B7" s="8">
        <v>19</v>
      </c>
      <c r="C7" s="8">
        <v>35</v>
      </c>
      <c r="D7" s="8">
        <v>10</v>
      </c>
      <c r="E7" s="8">
        <v>31</v>
      </c>
      <c r="F7" s="8">
        <v>35</v>
      </c>
      <c r="G7" s="8">
        <v>34</v>
      </c>
      <c r="H7" s="8">
        <v>34</v>
      </c>
      <c r="I7" s="8">
        <v>23</v>
      </c>
      <c r="J7" s="8">
        <v>15</v>
      </c>
    </row>
    <row r="8" spans="1:10" ht="15" x14ac:dyDescent="0.3">
      <c r="A8" s="8">
        <v>25</v>
      </c>
      <c r="B8" s="8">
        <v>17</v>
      </c>
      <c r="C8" s="8">
        <v>31</v>
      </c>
      <c r="D8" s="8">
        <v>15</v>
      </c>
      <c r="E8" s="8">
        <v>23</v>
      </c>
      <c r="F8" s="8">
        <v>17</v>
      </c>
      <c r="G8" s="8">
        <v>41</v>
      </c>
      <c r="H8" s="8">
        <v>29</v>
      </c>
      <c r="I8" s="8">
        <v>38</v>
      </c>
      <c r="J8" s="8">
        <v>32</v>
      </c>
    </row>
    <row r="9" spans="1:10" ht="15" x14ac:dyDescent="0.3">
      <c r="A9" s="8">
        <v>15</v>
      </c>
      <c r="B9" s="8">
        <v>22</v>
      </c>
      <c r="C9" s="8">
        <v>37</v>
      </c>
      <c r="D9" s="8">
        <v>17</v>
      </c>
      <c r="E9" s="8">
        <v>21</v>
      </c>
      <c r="F9" s="8">
        <v>25</v>
      </c>
      <c r="G9" s="8">
        <v>35</v>
      </c>
      <c r="H9" s="8">
        <v>40</v>
      </c>
      <c r="I9" s="8">
        <v>19</v>
      </c>
      <c r="J9" s="8">
        <v>13</v>
      </c>
    </row>
    <row r="10" spans="1:10" ht="15" x14ac:dyDescent="0.3">
      <c r="A10" s="8">
        <v>27</v>
      </c>
      <c r="B10" s="8">
        <v>31</v>
      </c>
      <c r="C10" s="8">
        <v>25</v>
      </c>
      <c r="D10" s="8">
        <v>25</v>
      </c>
      <c r="E10" s="8">
        <v>12</v>
      </c>
      <c r="F10" s="8">
        <v>24</v>
      </c>
      <c r="G10" s="8">
        <v>30</v>
      </c>
      <c r="H10" s="8">
        <v>29</v>
      </c>
      <c r="I10" s="8">
        <v>35</v>
      </c>
      <c r="J10" s="8">
        <v>24</v>
      </c>
    </row>
    <row r="12" spans="1:10" x14ac:dyDescent="0.3">
      <c r="G12" t="s">
        <v>0</v>
      </c>
    </row>
    <row r="13" spans="1:10" ht="18" x14ac:dyDescent="0.35">
      <c r="A13" s="10" t="s">
        <v>1</v>
      </c>
      <c r="B13" s="10"/>
      <c r="C13" s="10"/>
      <c r="D13" s="1" t="s">
        <v>2</v>
      </c>
      <c r="E13" s="2">
        <v>8</v>
      </c>
    </row>
    <row r="14" spans="1:10" ht="18" x14ac:dyDescent="0.35">
      <c r="A14" s="4" t="s">
        <v>3</v>
      </c>
      <c r="B14" s="3">
        <f>MIN(A1:J10)</f>
        <v>7</v>
      </c>
      <c r="C14" s="5" t="s">
        <v>4</v>
      </c>
      <c r="D14" s="3">
        <f>MAX(A1:J10)</f>
        <v>41</v>
      </c>
      <c r="E14" s="3" t="s">
        <v>5</v>
      </c>
      <c r="F14" s="3" t="str">
        <f>IMSUB(D14,B14)</f>
        <v>34</v>
      </c>
    </row>
    <row r="15" spans="1:10" ht="15.6" x14ac:dyDescent="0.3">
      <c r="A15" s="11" t="s">
        <v>6</v>
      </c>
      <c r="B15" s="12"/>
      <c r="C15" s="12"/>
      <c r="D15" s="6" t="s">
        <v>7</v>
      </c>
      <c r="E15" s="7">
        <v>4.3</v>
      </c>
    </row>
    <row r="17" spans="1:13" ht="15.6" x14ac:dyDescent="0.3">
      <c r="A17" s="13" t="s">
        <v>8</v>
      </c>
      <c r="B17" s="13"/>
      <c r="C17" s="13"/>
      <c r="D17" s="13"/>
      <c r="E17" s="13"/>
    </row>
    <row r="18" spans="1:13" x14ac:dyDescent="0.3">
      <c r="A18" s="9" t="s">
        <v>11</v>
      </c>
      <c r="B18" s="9" t="s">
        <v>9</v>
      </c>
      <c r="C18" s="17" t="s">
        <v>10</v>
      </c>
      <c r="D18" s="9" t="s">
        <v>12</v>
      </c>
      <c r="E18" s="9" t="s">
        <v>13</v>
      </c>
      <c r="F18" s="9" t="s">
        <v>14</v>
      </c>
      <c r="H18" t="s">
        <v>15</v>
      </c>
      <c r="K18" t="s">
        <v>17</v>
      </c>
    </row>
    <row r="19" spans="1:13" x14ac:dyDescent="0.3">
      <c r="A19" s="14">
        <f>B14</f>
        <v>7</v>
      </c>
      <c r="B19" s="14">
        <f xml:space="preserve"> A19 + $E$15</f>
        <v>11.3</v>
      </c>
      <c r="C19" s="15">
        <f>COUNTIFS($A$1:$J$10,"&gt;="&amp;A19,$A$1:$J$10,"&lt;"&amp;B19)</f>
        <v>4</v>
      </c>
      <c r="D19" s="15">
        <f>C19 / $G$19</f>
        <v>0.04</v>
      </c>
      <c r="E19" s="16">
        <f>D19 / $E$15</f>
        <v>9.3023255813953487E-3</v>
      </c>
      <c r="F19" s="15">
        <f xml:space="preserve"> (A19 + B19)/2</f>
        <v>9.15</v>
      </c>
      <c r="G19">
        <f>SUM(C19:C26)</f>
        <v>100</v>
      </c>
      <c r="H19">
        <f>C19*F19</f>
        <v>36.6</v>
      </c>
      <c r="K19">
        <f xml:space="preserve"> C19 * C19 * F19</f>
        <v>146.4</v>
      </c>
    </row>
    <row r="20" spans="1:13" x14ac:dyDescent="0.3">
      <c r="A20" s="14">
        <f>B19</f>
        <v>11.3</v>
      </c>
      <c r="B20" s="14">
        <f xml:space="preserve"> A20 + $E$15</f>
        <v>15.600000000000001</v>
      </c>
      <c r="C20" s="15">
        <f t="shared" ref="C20:C26" si="0">COUNTIFS($A$1:$J$10,"&gt;="&amp;A20,$A$1:$J$10,"&lt;"&amp;B20)</f>
        <v>7</v>
      </c>
      <c r="D20" s="15">
        <f t="shared" ref="D20:D26" si="1">C20 / $G$19</f>
        <v>7.0000000000000007E-2</v>
      </c>
      <c r="E20" s="16">
        <f t="shared" ref="E20:E26" si="2">D20 / $E$15</f>
        <v>1.6279069767441864E-2</v>
      </c>
      <c r="F20" s="15">
        <f t="shared" ref="F20:F26" si="3" xml:space="preserve"> (A20 + B20)/2</f>
        <v>13.450000000000001</v>
      </c>
      <c r="H20">
        <f t="shared" ref="H20:H26" si="4">C20*F20</f>
        <v>94.15</v>
      </c>
      <c r="K20">
        <f t="shared" ref="K20:K26" si="5" xml:space="preserve"> C20 * C20 * F20</f>
        <v>659.05000000000007</v>
      </c>
    </row>
    <row r="21" spans="1:13" x14ac:dyDescent="0.3">
      <c r="A21" s="14">
        <f t="shared" ref="A21:A26" si="6">B20</f>
        <v>15.600000000000001</v>
      </c>
      <c r="B21" s="14">
        <f t="shared" ref="B21:B26" si="7" xml:space="preserve"> A21 + $E$15</f>
        <v>19.900000000000002</v>
      </c>
      <c r="C21" s="15">
        <f t="shared" si="0"/>
        <v>18</v>
      </c>
      <c r="D21" s="15">
        <f t="shared" si="1"/>
        <v>0.18</v>
      </c>
      <c r="E21" s="16">
        <f t="shared" si="2"/>
        <v>4.1860465116279069E-2</v>
      </c>
      <c r="F21" s="15">
        <f t="shared" si="3"/>
        <v>17.75</v>
      </c>
      <c r="H21">
        <f t="shared" si="4"/>
        <v>319.5</v>
      </c>
      <c r="K21">
        <f t="shared" si="5"/>
        <v>5751</v>
      </c>
      <c r="M21">
        <f>SUM(K19:K26)/100</f>
        <v>386.01</v>
      </c>
    </row>
    <row r="22" spans="1:13" x14ac:dyDescent="0.3">
      <c r="A22" s="14">
        <f t="shared" si="6"/>
        <v>19.900000000000002</v>
      </c>
      <c r="B22" s="14">
        <f t="shared" si="7"/>
        <v>24.200000000000003</v>
      </c>
      <c r="C22" s="15">
        <f t="shared" si="0"/>
        <v>18</v>
      </c>
      <c r="D22" s="15">
        <f t="shared" si="1"/>
        <v>0.18</v>
      </c>
      <c r="E22" s="16">
        <f t="shared" si="2"/>
        <v>4.1860465116279069E-2</v>
      </c>
      <c r="F22" s="15">
        <f t="shared" si="3"/>
        <v>22.050000000000004</v>
      </c>
      <c r="H22">
        <f t="shared" si="4"/>
        <v>396.90000000000009</v>
      </c>
      <c r="I22" t="s">
        <v>16</v>
      </c>
      <c r="J22">
        <f>SUM(H19:H26)/100</f>
        <v>24.888000000000002</v>
      </c>
      <c r="K22">
        <f t="shared" si="5"/>
        <v>7144.2000000000016</v>
      </c>
      <c r="L22" t="s">
        <v>18</v>
      </c>
      <c r="M22">
        <f>(M21) - (J22 * J22)</f>
        <v>-233.40254400000015</v>
      </c>
    </row>
    <row r="23" spans="1:13" x14ac:dyDescent="0.3">
      <c r="A23" s="14">
        <f t="shared" si="6"/>
        <v>24.200000000000003</v>
      </c>
      <c r="B23" s="14">
        <f t="shared" si="7"/>
        <v>28.500000000000004</v>
      </c>
      <c r="C23" s="15">
        <f t="shared" si="0"/>
        <v>19</v>
      </c>
      <c r="D23" s="15">
        <f t="shared" si="1"/>
        <v>0.19</v>
      </c>
      <c r="E23" s="16">
        <f t="shared" si="2"/>
        <v>4.4186046511627906E-2</v>
      </c>
      <c r="F23" s="15">
        <f t="shared" si="3"/>
        <v>26.35</v>
      </c>
      <c r="H23">
        <f t="shared" si="4"/>
        <v>500.65000000000003</v>
      </c>
      <c r="K23">
        <f t="shared" si="5"/>
        <v>9512.35</v>
      </c>
    </row>
    <row r="24" spans="1:13" x14ac:dyDescent="0.3">
      <c r="A24" s="14">
        <f t="shared" si="6"/>
        <v>28.500000000000004</v>
      </c>
      <c r="B24" s="14">
        <f t="shared" si="7"/>
        <v>32.800000000000004</v>
      </c>
      <c r="C24" s="15">
        <f t="shared" si="0"/>
        <v>15</v>
      </c>
      <c r="D24" s="15">
        <f t="shared" si="1"/>
        <v>0.15</v>
      </c>
      <c r="E24" s="16">
        <f t="shared" si="2"/>
        <v>3.4883720930232558E-2</v>
      </c>
      <c r="F24" s="15">
        <f t="shared" si="3"/>
        <v>30.650000000000006</v>
      </c>
      <c r="H24">
        <f t="shared" si="4"/>
        <v>459.75000000000011</v>
      </c>
      <c r="K24">
        <f t="shared" si="5"/>
        <v>6896.2500000000009</v>
      </c>
    </row>
    <row r="25" spans="1:13" x14ac:dyDescent="0.3">
      <c r="A25" s="14">
        <f t="shared" si="6"/>
        <v>32.800000000000004</v>
      </c>
      <c r="B25" s="14">
        <f t="shared" si="7"/>
        <v>37.1</v>
      </c>
      <c r="C25" s="15">
        <f t="shared" si="0"/>
        <v>15</v>
      </c>
      <c r="D25" s="15">
        <f t="shared" si="1"/>
        <v>0.15</v>
      </c>
      <c r="E25" s="16">
        <f t="shared" si="2"/>
        <v>3.4883720930232558E-2</v>
      </c>
      <c r="F25" s="15">
        <f t="shared" si="3"/>
        <v>34.950000000000003</v>
      </c>
      <c r="H25">
        <f t="shared" si="4"/>
        <v>524.25</v>
      </c>
      <c r="K25">
        <f t="shared" si="5"/>
        <v>7863.7500000000009</v>
      </c>
    </row>
    <row r="26" spans="1:13" x14ac:dyDescent="0.3">
      <c r="A26" s="14">
        <f t="shared" si="6"/>
        <v>37.1</v>
      </c>
      <c r="B26" s="14">
        <f t="shared" si="7"/>
        <v>41.4</v>
      </c>
      <c r="C26" s="15">
        <f t="shared" si="0"/>
        <v>4</v>
      </c>
      <c r="D26" s="15">
        <f t="shared" si="1"/>
        <v>0.04</v>
      </c>
      <c r="E26" s="16">
        <f t="shared" si="2"/>
        <v>9.3023255813953487E-3</v>
      </c>
      <c r="F26" s="15">
        <f t="shared" si="3"/>
        <v>39.25</v>
      </c>
      <c r="H26">
        <f t="shared" si="4"/>
        <v>157</v>
      </c>
      <c r="K26">
        <f t="shared" si="5"/>
        <v>628</v>
      </c>
    </row>
    <row r="31" spans="1:13" x14ac:dyDescent="0.3">
      <c r="A31" s="9" t="s">
        <v>11</v>
      </c>
      <c r="B31" s="9" t="s">
        <v>9</v>
      </c>
      <c r="C31" s="17" t="s">
        <v>14</v>
      </c>
      <c r="D31" s="9" t="s">
        <v>21</v>
      </c>
      <c r="E31" s="9" t="s">
        <v>23</v>
      </c>
      <c r="F31" s="9" t="s">
        <v>22</v>
      </c>
    </row>
    <row r="32" spans="1:13" x14ac:dyDescent="0.3">
      <c r="A32" t="s">
        <v>20</v>
      </c>
      <c r="B32">
        <v>15.6</v>
      </c>
      <c r="C32">
        <v>11</v>
      </c>
      <c r="D32">
        <v>0.113</v>
      </c>
      <c r="E32">
        <f xml:space="preserve"> D32 * 100</f>
        <v>11.3</v>
      </c>
      <c r="F32" s="7">
        <f xml:space="preserve"> C32 - E32</f>
        <v>-0.30000000000000071</v>
      </c>
    </row>
    <row r="33" spans="1:6" x14ac:dyDescent="0.3">
      <c r="A33">
        <v>15.6</v>
      </c>
      <c r="B33">
        <v>19.899999999999999</v>
      </c>
      <c r="C33">
        <v>18</v>
      </c>
      <c r="D33">
        <v>0.14499999999999999</v>
      </c>
      <c r="E33">
        <f t="shared" ref="E33:E37" si="8" xml:space="preserve"> D33 * 100</f>
        <v>14.499999999999998</v>
      </c>
      <c r="F33" s="7">
        <f t="shared" ref="F33:F37" si="9" xml:space="preserve"> C33 - E33</f>
        <v>3.5000000000000018</v>
      </c>
    </row>
    <row r="34" spans="1:6" x14ac:dyDescent="0.3">
      <c r="A34">
        <v>19.899999999999999</v>
      </c>
      <c r="B34">
        <v>24.2</v>
      </c>
      <c r="C34">
        <v>18</v>
      </c>
      <c r="D34">
        <v>0.20599999999999999</v>
      </c>
      <c r="E34">
        <f t="shared" si="8"/>
        <v>20.599999999999998</v>
      </c>
      <c r="F34" s="7">
        <f t="shared" si="9"/>
        <v>-2.5999999999999979</v>
      </c>
    </row>
    <row r="35" spans="1:6" x14ac:dyDescent="0.3">
      <c r="A35">
        <f>B34</f>
        <v>24.2</v>
      </c>
      <c r="B35">
        <v>28.5</v>
      </c>
      <c r="C35">
        <v>19</v>
      </c>
      <c r="D35">
        <v>0.217</v>
      </c>
      <c r="E35">
        <f t="shared" si="8"/>
        <v>21.7</v>
      </c>
      <c r="F35" s="7">
        <f t="shared" si="9"/>
        <v>-2.6999999999999993</v>
      </c>
    </row>
    <row r="36" spans="1:6" x14ac:dyDescent="0.3">
      <c r="A36">
        <f>B35</f>
        <v>28.5</v>
      </c>
      <c r="B36">
        <v>32.799999999999997</v>
      </c>
      <c r="C36">
        <v>15</v>
      </c>
      <c r="D36">
        <v>0.16800000000000001</v>
      </c>
      <c r="E36">
        <f t="shared" si="8"/>
        <v>16.8</v>
      </c>
      <c r="F36" s="7">
        <f t="shared" si="9"/>
        <v>-1.8000000000000007</v>
      </c>
    </row>
    <row r="37" spans="1:6" x14ac:dyDescent="0.3">
      <c r="A37">
        <f>B36</f>
        <v>32.799999999999997</v>
      </c>
      <c r="B37" t="s">
        <v>19</v>
      </c>
      <c r="C37">
        <v>19</v>
      </c>
      <c r="D37">
        <v>0.151</v>
      </c>
      <c r="E37">
        <f t="shared" si="8"/>
        <v>15.1</v>
      </c>
      <c r="F37" s="7">
        <f t="shared" si="9"/>
        <v>3.9000000000000004</v>
      </c>
    </row>
  </sheetData>
  <mergeCells count="3">
    <mergeCell ref="A13:C13"/>
    <mergeCell ref="A15:C15"/>
    <mergeCell ref="A17:E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mrsergey4476@gmail.com</cp:lastModifiedBy>
  <dcterms:created xsi:type="dcterms:W3CDTF">2015-06-05T18:19:34Z</dcterms:created>
  <dcterms:modified xsi:type="dcterms:W3CDTF">2025-11-16T10:33:12Z</dcterms:modified>
</cp:coreProperties>
</file>
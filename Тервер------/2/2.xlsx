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Лабы\Тервер------\2\"/>
    </mc:Choice>
  </mc:AlternateContent>
  <xr:revisionPtr revIDLastSave="0" documentId="13_ncr:1_{FEE3C37E-3F72-496E-9B13-E3C643973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" l="1"/>
  <c r="B68" i="1"/>
  <c r="E68" i="1" s="1"/>
  <c r="B69" i="1"/>
  <c r="D69" i="1" s="1"/>
  <c r="B70" i="1"/>
  <c r="B71" i="1"/>
  <c r="E71" i="1" s="1"/>
  <c r="B72" i="1"/>
  <c r="B66" i="1"/>
  <c r="H69" i="1"/>
  <c r="C67" i="1"/>
  <c r="C68" i="1"/>
  <c r="C69" i="1"/>
  <c r="C70" i="1"/>
  <c r="C71" i="1"/>
  <c r="F71" i="1" s="1"/>
  <c r="C72" i="1"/>
  <c r="C66" i="1"/>
  <c r="F72" i="1"/>
  <c r="E72" i="1"/>
  <c r="F70" i="1"/>
  <c r="F69" i="1"/>
  <c r="E69" i="1"/>
  <c r="F67" i="1"/>
  <c r="D67" i="1"/>
  <c r="D51" i="1"/>
  <c r="E51" i="1"/>
  <c r="F51" i="1"/>
  <c r="G51" i="1"/>
  <c r="H51" i="1"/>
  <c r="I51" i="1"/>
  <c r="C51" i="1"/>
  <c r="E29" i="1"/>
  <c r="F29" i="1"/>
  <c r="G29" i="1"/>
  <c r="H29" i="1"/>
  <c r="I29" i="1"/>
  <c r="D29" i="1"/>
  <c r="C29" i="1"/>
  <c r="D24" i="1"/>
  <c r="E24" i="1"/>
  <c r="F24" i="1"/>
  <c r="C24" i="1"/>
  <c r="B24" i="1"/>
  <c r="F18" i="1"/>
  <c r="F19" i="1"/>
  <c r="F20" i="1"/>
  <c r="F21" i="1"/>
  <c r="F22" i="1"/>
  <c r="F23" i="1"/>
  <c r="F17" i="1"/>
  <c r="E18" i="1"/>
  <c r="E19" i="1"/>
  <c r="E20" i="1"/>
  <c r="E21" i="1"/>
  <c r="E22" i="1"/>
  <c r="E23" i="1"/>
  <c r="E17" i="1"/>
  <c r="D19" i="1"/>
  <c r="D20" i="1"/>
  <c r="D21" i="1"/>
  <c r="D22" i="1"/>
  <c r="D23" i="1"/>
  <c r="D18" i="1"/>
  <c r="D17" i="1"/>
  <c r="C23" i="1"/>
  <c r="C22" i="1"/>
  <c r="C21" i="1"/>
  <c r="C20" i="1"/>
  <c r="C19" i="1"/>
  <c r="C18" i="1"/>
  <c r="C17" i="1"/>
  <c r="B23" i="1"/>
  <c r="B22" i="1"/>
  <c r="B21" i="1"/>
  <c r="B20" i="1"/>
  <c r="B19" i="1"/>
  <c r="B18" i="1"/>
  <c r="B17" i="1"/>
  <c r="D68" i="1" l="1"/>
  <c r="B73" i="1"/>
  <c r="E66" i="1"/>
  <c r="D70" i="1"/>
  <c r="C73" i="1"/>
  <c r="E67" i="1"/>
  <c r="E70" i="1"/>
  <c r="D71" i="1"/>
  <c r="F68" i="1"/>
  <c r="F66" i="1"/>
  <c r="F73" i="1" s="1"/>
  <c r="D72" i="1"/>
  <c r="D66" i="1"/>
  <c r="D73" i="1" s="1"/>
  <c r="E73" i="1" l="1"/>
</calcChain>
</file>

<file path=xl/sharedStrings.xml><?xml version="1.0" encoding="utf-8"?>
<sst xmlns="http://schemas.openxmlformats.org/spreadsheetml/2006/main" count="20" uniqueCount="14">
  <si>
    <t>Т,мин</t>
  </si>
  <si>
    <t>Vс,%</t>
  </si>
  <si>
    <t>Xi</t>
  </si>
  <si>
    <t>Yi</t>
  </si>
  <si>
    <t>Xi*Yi</t>
  </si>
  <si>
    <t>Xi^2</t>
  </si>
  <si>
    <t>Yi^2</t>
  </si>
  <si>
    <t>Cум</t>
  </si>
  <si>
    <t>1 / Т,мин</t>
  </si>
  <si>
    <t>1/Vс,%</t>
  </si>
  <si>
    <t>Гиперболическая зависимость в)</t>
  </si>
  <si>
    <t>Гиперболическая зависимость ж)</t>
  </si>
  <si>
    <t>Yi = y</t>
  </si>
  <si>
    <t>Xi = lnx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</si>
</sst>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>
        <c:manualLayout>
          <c:layoutTarget val="inner"/>
          <c:xMode val="edge"/>
          <c:yMode val="edge"/>
          <c:x val="8.2025371828521432E-2"/>
          <c:y val="0.17073171615743002"/>
          <c:w val="0.87119685039370076"/>
          <c:h val="0.72248262573732336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Лист1!$A$11</c:f>
              <c:strCache>
                <c:ptCount val="1"/>
                <c:pt idx="0">
                  <c:v>Vс,%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830708661417323"/>
                  <c:y val="0.262988017974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7961286089238847"/>
                  <c:y val="9.51994334109227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585958005249345"/>
                  <c:y val="4.16248047040628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5147069116360454"/>
                  <c:y val="-4.57912378061313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0805730533683289"/>
                  <c:y val="-0.122230822190505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Лист1!$B$10:$H$10</c:f>
              <c:numCache>
                <c:formatCode>General</c:formatCode>
                <c:ptCount val="7"/>
                <c:pt idx="0">
                  <c:v>5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</c:numCache>
            </c:numRef>
          </c:xVal>
          <c:yVal>
            <c:numRef>
              <c:f>Лист1!$B$11:$H$11</c:f>
              <c:numCache>
                <c:formatCode>General</c:formatCode>
                <c:ptCount val="7"/>
                <c:pt idx="0">
                  <c:v>15</c:v>
                </c:pt>
                <c:pt idx="1">
                  <c:v>40</c:v>
                </c:pt>
                <c:pt idx="2">
                  <c:v>52</c:v>
                </c:pt>
                <c:pt idx="3">
                  <c:v>64</c:v>
                </c:pt>
                <c:pt idx="4">
                  <c:v>69</c:v>
                </c:pt>
                <c:pt idx="5">
                  <c:v>73</c:v>
                </c:pt>
                <c:pt idx="6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F-4A60-BEAA-1F47D95F0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850176"/>
        <c:axId val="1721854496"/>
      </c:scatterChart>
      <c:valAx>
        <c:axId val="172185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721854496"/>
        <c:crosses val="autoZero"/>
        <c:crossBetween val="midCat"/>
      </c:valAx>
      <c:valAx>
        <c:axId val="17218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72185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Лист1!$B$30</c:f>
              <c:strCache>
                <c:ptCount val="1"/>
                <c:pt idx="0">
                  <c:v>Vс,%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933945756780399E-2"/>
                  <c:y val="-0.21523804316127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Лист1!$C$29:$I$29</c:f>
              <c:numCache>
                <c:formatCode>General</c:formatCode>
                <c:ptCount val="7"/>
                <c:pt idx="0">
                  <c:v>0.2</c:v>
                </c:pt>
                <c:pt idx="1">
                  <c:v>6.6666666666666666E-2</c:v>
                </c:pt>
                <c:pt idx="2">
                  <c:v>3.3333333333333333E-2</c:v>
                </c:pt>
                <c:pt idx="3">
                  <c:v>2.2222222222222223E-2</c:v>
                </c:pt>
                <c:pt idx="4">
                  <c:v>1.6666666666666666E-2</c:v>
                </c:pt>
                <c:pt idx="5">
                  <c:v>1.1111111111111112E-2</c:v>
                </c:pt>
                <c:pt idx="6">
                  <c:v>8.3333333333333332E-3</c:v>
                </c:pt>
              </c:numCache>
            </c:numRef>
          </c:xVal>
          <c:yVal>
            <c:numRef>
              <c:f>Лист1!$C$30:$I$30</c:f>
              <c:numCache>
                <c:formatCode>General</c:formatCode>
                <c:ptCount val="7"/>
                <c:pt idx="0">
                  <c:v>15</c:v>
                </c:pt>
                <c:pt idx="1">
                  <c:v>40</c:v>
                </c:pt>
                <c:pt idx="2">
                  <c:v>52</c:v>
                </c:pt>
                <c:pt idx="3">
                  <c:v>64</c:v>
                </c:pt>
                <c:pt idx="4">
                  <c:v>69</c:v>
                </c:pt>
                <c:pt idx="5">
                  <c:v>73</c:v>
                </c:pt>
                <c:pt idx="6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75-41A8-84EB-AE6E42163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216512"/>
        <c:axId val="857216992"/>
      </c:scatterChart>
      <c:valAx>
        <c:axId val="85721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57216992"/>
        <c:crosses val="autoZero"/>
        <c:crossBetween val="midCat"/>
      </c:valAx>
      <c:valAx>
        <c:axId val="8572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5721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Лист1!$B$51</c:f>
              <c:strCache>
                <c:ptCount val="1"/>
                <c:pt idx="0">
                  <c:v>1/Vс,%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Лист1!$C$50:$I$50</c:f>
              <c:numCache>
                <c:formatCode>General</c:formatCode>
                <c:ptCount val="7"/>
                <c:pt idx="0">
                  <c:v>5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</c:numCache>
            </c:numRef>
          </c:xVal>
          <c:yVal>
            <c:numRef>
              <c:f>Лист1!$C$51:$I$51</c:f>
              <c:numCache>
                <c:formatCode>General</c:formatCode>
                <c:ptCount val="7"/>
                <c:pt idx="0">
                  <c:v>6.6666666666666666E-2</c:v>
                </c:pt>
                <c:pt idx="1">
                  <c:v>2.5000000000000001E-2</c:v>
                </c:pt>
                <c:pt idx="2">
                  <c:v>1.9230769230769232E-2</c:v>
                </c:pt>
                <c:pt idx="3">
                  <c:v>1.5625E-2</c:v>
                </c:pt>
                <c:pt idx="4">
                  <c:v>1.4492753623188406E-2</c:v>
                </c:pt>
                <c:pt idx="5">
                  <c:v>1.3698630136986301E-2</c:v>
                </c:pt>
                <c:pt idx="6">
                  <c:v>1.3157894736842105E-2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ED-4684-B076-BCD8101DB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224192"/>
        <c:axId val="857228032"/>
      </c:scatterChart>
      <c:valAx>
        <c:axId val="85722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57228032"/>
        <c:crosses val="autoZero"/>
        <c:crossBetween val="midCat"/>
      </c:valAx>
      <c:valAx>
        <c:axId val="85722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5722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167640</xdr:colOff>
      <xdr:row>9</xdr:row>
      <xdr:rowOff>72390</xdr:rowOff>
    </xdr:from>
    <xdr:to>
      <xdr:col>16</xdr:col>
      <xdr:colOff>472440</xdr:colOff>
      <xdr:row>24</xdr:row>
      <xdr:rowOff>72390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3B1E5DD-DE82-7642-929F-5C8AE0855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483704</xdr:colOff>
      <xdr:row>28</xdr:row>
      <xdr:rowOff>109331</xdr:rowOff>
    </xdr:from>
    <xdr:to>
      <xdr:col>17</xdr:col>
      <xdr:colOff>178904</xdr:colOff>
      <xdr:row>43</xdr:row>
      <xdr:rowOff>69574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F13EEFD-15F9-2005-DB18-3390E1C4F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4482</xdr:colOff>
      <xdr:row>48</xdr:row>
      <xdr:rowOff>8965</xdr:rowOff>
    </xdr:from>
    <xdr:to>
      <xdr:col>17</xdr:col>
      <xdr:colOff>309282</xdr:colOff>
      <xdr:row>63</xdr:row>
      <xdr:rowOff>62754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F3954F8-DF31-E717-61BD-A243CD7BC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Q73"/>
  <sheetViews>
    <sheetView tabSelected="1" topLeftCell="A61" zoomScale="115" zoomScaleNormal="115" workbookViewId="0">
      <selection activeCell="I75" sqref="I75"/>
    </sheetView>
  </sheetViews>
  <sheetFormatPr defaultRowHeight="14.4" x14ac:dyDescent="0.3"/>
  <sheetData>
    <row r="10" spans="1:8" x14ac:dyDescent="0.3">
      <c r="A10" s="1" t="s">
        <v>0</v>
      </c>
      <c r="B10" s="2">
        <v>5</v>
      </c>
      <c r="C10" s="2">
        <v>15</v>
      </c>
      <c r="D10" s="2">
        <v>30</v>
      </c>
      <c r="E10" s="2">
        <v>45</v>
      </c>
      <c r="F10" s="2">
        <v>60</v>
      </c>
      <c r="G10" s="2">
        <v>90</v>
      </c>
      <c r="H10" s="2">
        <v>120</v>
      </c>
    </row>
    <row r="11" spans="1:8" x14ac:dyDescent="0.3">
      <c r="A11" s="1" t="s">
        <v>1</v>
      </c>
      <c r="B11" s="2">
        <v>15</v>
      </c>
      <c r="C11" s="2">
        <v>40</v>
      </c>
      <c r="D11" s="2">
        <v>52</v>
      </c>
      <c r="E11" s="2">
        <v>64</v>
      </c>
      <c r="F11" s="2">
        <v>69</v>
      </c>
      <c r="G11" s="2">
        <v>73</v>
      </c>
      <c r="H11" s="2">
        <v>76</v>
      </c>
    </row>
    <row r="16" spans="1:8" x14ac:dyDescent="0.3">
      <c r="A16" s="3"/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</row>
    <row r="17" spans="1:17" x14ac:dyDescent="0.3">
      <c r="A17" s="4">
        <v>1</v>
      </c>
      <c r="B17" s="4">
        <f>$B10</f>
        <v>5</v>
      </c>
      <c r="C17" s="4">
        <f>B11</f>
        <v>15</v>
      </c>
      <c r="D17" s="4">
        <f>B17*C17</f>
        <v>75</v>
      </c>
      <c r="E17" s="4">
        <f>B17*B17</f>
        <v>25</v>
      </c>
      <c r="F17" s="4">
        <f>C17*C17</f>
        <v>225</v>
      </c>
    </row>
    <row r="18" spans="1:17" x14ac:dyDescent="0.3">
      <c r="A18" s="4">
        <v>2</v>
      </c>
      <c r="B18" s="4">
        <f>C10</f>
        <v>15</v>
      </c>
      <c r="C18" s="4">
        <f>C11</f>
        <v>40</v>
      </c>
      <c r="D18" s="4">
        <f>B18*C18</f>
        <v>600</v>
      </c>
      <c r="E18" s="4">
        <f t="shared" ref="E18:E23" si="0">B18*B18</f>
        <v>225</v>
      </c>
      <c r="F18" s="4">
        <f t="shared" ref="F18:F23" si="1">C18*C18</f>
        <v>1600</v>
      </c>
    </row>
    <row r="19" spans="1:17" x14ac:dyDescent="0.3">
      <c r="A19" s="4">
        <v>3</v>
      </c>
      <c r="B19" s="4">
        <f>D10</f>
        <v>30</v>
      </c>
      <c r="C19" s="4">
        <f>D11</f>
        <v>52</v>
      </c>
      <c r="D19" s="4">
        <f t="shared" ref="D19:D23" si="2">B19*C19</f>
        <v>1560</v>
      </c>
      <c r="E19" s="4">
        <f t="shared" si="0"/>
        <v>900</v>
      </c>
      <c r="F19" s="4">
        <f t="shared" si="1"/>
        <v>2704</v>
      </c>
    </row>
    <row r="20" spans="1:17" x14ac:dyDescent="0.3">
      <c r="A20" s="4">
        <v>4</v>
      </c>
      <c r="B20" s="4">
        <f>E10</f>
        <v>45</v>
      </c>
      <c r="C20" s="4">
        <f>E11</f>
        <v>64</v>
      </c>
      <c r="D20" s="4">
        <f t="shared" si="2"/>
        <v>2880</v>
      </c>
      <c r="E20" s="4">
        <f t="shared" si="0"/>
        <v>2025</v>
      </c>
      <c r="F20" s="4">
        <f t="shared" si="1"/>
        <v>4096</v>
      </c>
    </row>
    <row r="21" spans="1:17" x14ac:dyDescent="0.3">
      <c r="A21" s="4">
        <v>5</v>
      </c>
      <c r="B21" s="4">
        <f>F10</f>
        <v>60</v>
      </c>
      <c r="C21" s="4">
        <f>F11</f>
        <v>69</v>
      </c>
      <c r="D21" s="4">
        <f t="shared" si="2"/>
        <v>4140</v>
      </c>
      <c r="E21" s="4">
        <f t="shared" si="0"/>
        <v>3600</v>
      </c>
      <c r="F21" s="4">
        <f t="shared" si="1"/>
        <v>4761</v>
      </c>
    </row>
    <row r="22" spans="1:17" x14ac:dyDescent="0.3">
      <c r="A22" s="4">
        <v>6</v>
      </c>
      <c r="B22" s="4">
        <f>G10</f>
        <v>90</v>
      </c>
      <c r="C22" s="4">
        <f>G11</f>
        <v>73</v>
      </c>
      <c r="D22" s="4">
        <f t="shared" si="2"/>
        <v>6570</v>
      </c>
      <c r="E22" s="4">
        <f t="shared" si="0"/>
        <v>8100</v>
      </c>
      <c r="F22" s="4">
        <f t="shared" si="1"/>
        <v>5329</v>
      </c>
    </row>
    <row r="23" spans="1:17" x14ac:dyDescent="0.3">
      <c r="A23" s="4">
        <v>7</v>
      </c>
      <c r="B23" s="4">
        <f>H10</f>
        <v>120</v>
      </c>
      <c r="C23" s="4">
        <f>H11</f>
        <v>76</v>
      </c>
      <c r="D23" s="4">
        <f t="shared" si="2"/>
        <v>9120</v>
      </c>
      <c r="E23" s="4">
        <f t="shared" si="0"/>
        <v>14400</v>
      </c>
      <c r="F23" s="4">
        <f t="shared" si="1"/>
        <v>5776</v>
      </c>
    </row>
    <row r="24" spans="1:17" x14ac:dyDescent="0.3">
      <c r="A24" s="5" t="s">
        <v>7</v>
      </c>
      <c r="B24" s="5">
        <f>SUM(B17:B23)</f>
        <v>365</v>
      </c>
      <c r="C24" s="5">
        <f>SUM(C17:C23)</f>
        <v>389</v>
      </c>
      <c r="D24" s="5">
        <f t="shared" ref="D24:F24" si="3">SUM(D17:D23)</f>
        <v>24945</v>
      </c>
      <c r="E24" s="5">
        <f t="shared" si="3"/>
        <v>29275</v>
      </c>
      <c r="F24" s="5">
        <f t="shared" si="3"/>
        <v>24491</v>
      </c>
    </row>
    <row r="28" spans="1:17" x14ac:dyDescent="0.3">
      <c r="L28" s="6" t="s">
        <v>10</v>
      </c>
      <c r="M28" s="6"/>
      <c r="N28" s="6"/>
      <c r="O28" s="6"/>
      <c r="P28" s="6"/>
      <c r="Q28" s="6"/>
    </row>
    <row r="29" spans="1:17" x14ac:dyDescent="0.3">
      <c r="B29" s="1" t="s">
        <v>8</v>
      </c>
      <c r="C29" s="2">
        <f>1/B10</f>
        <v>0.2</v>
      </c>
      <c r="D29" s="2">
        <f>1/C10</f>
        <v>6.6666666666666666E-2</v>
      </c>
      <c r="E29" s="2">
        <f t="shared" ref="E29:I29" si="4">1/D10</f>
        <v>3.3333333333333333E-2</v>
      </c>
      <c r="F29" s="2">
        <f t="shared" si="4"/>
        <v>2.2222222222222223E-2</v>
      </c>
      <c r="G29" s="2">
        <f t="shared" si="4"/>
        <v>1.6666666666666666E-2</v>
      </c>
      <c r="H29" s="2">
        <f t="shared" si="4"/>
        <v>1.1111111111111112E-2</v>
      </c>
      <c r="I29" s="2">
        <f t="shared" si="4"/>
        <v>8.3333333333333332E-3</v>
      </c>
    </row>
    <row r="30" spans="1:17" x14ac:dyDescent="0.3">
      <c r="B30" s="1" t="s">
        <v>1</v>
      </c>
      <c r="C30" s="2">
        <v>15</v>
      </c>
      <c r="D30" s="2">
        <v>40</v>
      </c>
      <c r="E30" s="2">
        <v>52</v>
      </c>
      <c r="F30" s="2">
        <v>64</v>
      </c>
      <c r="G30" s="2">
        <v>69</v>
      </c>
      <c r="H30" s="2">
        <v>73</v>
      </c>
      <c r="I30" s="2">
        <v>76</v>
      </c>
    </row>
    <row r="47" spans="11:17" x14ac:dyDescent="0.3">
      <c r="K47" s="6" t="s">
        <v>11</v>
      </c>
      <c r="L47" s="6"/>
      <c r="M47" s="6"/>
      <c r="N47" s="6"/>
      <c r="O47" s="6"/>
      <c r="P47" s="6"/>
      <c r="Q47" s="6"/>
    </row>
    <row r="50" spans="2:9" x14ac:dyDescent="0.3">
      <c r="B50" s="1" t="s">
        <v>0</v>
      </c>
      <c r="C50" s="2">
        <v>5</v>
      </c>
      <c r="D50" s="2">
        <v>15</v>
      </c>
      <c r="E50" s="2">
        <v>30</v>
      </c>
      <c r="F50" s="2">
        <v>45</v>
      </c>
      <c r="G50" s="2">
        <v>60</v>
      </c>
      <c r="H50" s="2">
        <v>90</v>
      </c>
      <c r="I50" s="2">
        <v>120</v>
      </c>
    </row>
    <row r="51" spans="2:9" x14ac:dyDescent="0.3">
      <c r="B51" s="1" t="s">
        <v>9</v>
      </c>
      <c r="C51" s="2">
        <f t="shared" ref="C51:I51" si="5" xml:space="preserve"> 1/B11</f>
        <v>6.6666666666666666E-2</v>
      </c>
      <c r="D51" s="2">
        <f t="shared" si="5"/>
        <v>2.5000000000000001E-2</v>
      </c>
      <c r="E51" s="2">
        <f t="shared" si="5"/>
        <v>1.9230769230769232E-2</v>
      </c>
      <c r="F51" s="2">
        <f t="shared" si="5"/>
        <v>1.5625E-2</v>
      </c>
      <c r="G51" s="2">
        <f t="shared" si="5"/>
        <v>1.4492753623188406E-2</v>
      </c>
      <c r="H51" s="2">
        <f t="shared" si="5"/>
        <v>1.3698630136986301E-2</v>
      </c>
      <c r="I51" s="2">
        <f t="shared" si="5"/>
        <v>1.3157894736842105E-2</v>
      </c>
    </row>
    <row r="65" spans="1:8" x14ac:dyDescent="0.3">
      <c r="A65" s="3"/>
      <c r="B65" s="3" t="s">
        <v>13</v>
      </c>
      <c r="C65" s="3" t="s">
        <v>12</v>
      </c>
      <c r="D65" s="3" t="s">
        <v>4</v>
      </c>
      <c r="E65" s="3" t="s">
        <v>5</v>
      </c>
      <c r="F65" s="3" t="s">
        <v>6</v>
      </c>
    </row>
    <row r="66" spans="1:8" x14ac:dyDescent="0.3">
      <c r="A66" s="4">
        <v>1</v>
      </c>
      <c r="B66" s="4">
        <f>LN(B17)</f>
        <v>1.6094379124341003</v>
      </c>
      <c r="C66" s="4">
        <f>C17</f>
        <v>15</v>
      </c>
      <c r="D66" s="4">
        <f>B66*C66</f>
        <v>24.141568686511505</v>
      </c>
      <c r="E66" s="4">
        <f>B66*B66</f>
        <v>2.5902903939802346</v>
      </c>
      <c r="F66" s="4">
        <f>C66*C66</f>
        <v>225</v>
      </c>
    </row>
    <row r="67" spans="1:8" x14ac:dyDescent="0.3">
      <c r="A67" s="4">
        <v>2</v>
      </c>
      <c r="B67" s="4">
        <f t="shared" ref="B67:B72" si="6">LN(B18)</f>
        <v>2.7080502011022101</v>
      </c>
      <c r="C67" s="4">
        <f t="shared" ref="C67:C72" si="7">C18</f>
        <v>40</v>
      </c>
      <c r="D67" s="4">
        <f>B67*C67</f>
        <v>108.32200804408841</v>
      </c>
      <c r="E67" s="4">
        <f t="shared" ref="E67:E72" si="8">B67*B67</f>
        <v>7.3335358916897206</v>
      </c>
      <c r="F67" s="4">
        <f t="shared" ref="F67:F72" si="9">C67*C67</f>
        <v>1600</v>
      </c>
    </row>
    <row r="68" spans="1:8" x14ac:dyDescent="0.3">
      <c r="A68" s="4">
        <v>3</v>
      </c>
      <c r="B68" s="4">
        <f t="shared" si="6"/>
        <v>3.4011973816621555</v>
      </c>
      <c r="C68" s="4">
        <f t="shared" si="7"/>
        <v>52</v>
      </c>
      <c r="D68" s="4">
        <f t="shared" ref="D68:D72" si="10">B68*C68</f>
        <v>176.86226384643209</v>
      </c>
      <c r="E68" s="4">
        <f t="shared" si="8"/>
        <v>11.568143629025503</v>
      </c>
      <c r="F68" s="4">
        <f t="shared" si="9"/>
        <v>2704</v>
      </c>
    </row>
    <row r="69" spans="1:8" x14ac:dyDescent="0.3">
      <c r="A69" s="4">
        <v>4</v>
      </c>
      <c r="B69" s="4">
        <f t="shared" si="6"/>
        <v>3.8066624897703196</v>
      </c>
      <c r="C69" s="4">
        <f t="shared" si="7"/>
        <v>64</v>
      </c>
      <c r="D69" s="4">
        <f t="shared" si="10"/>
        <v>243.62639934530046</v>
      </c>
      <c r="E69" s="4">
        <f t="shared" si="8"/>
        <v>14.490679311024369</v>
      </c>
      <c r="F69" s="4">
        <f t="shared" si="9"/>
        <v>4096</v>
      </c>
      <c r="H69">
        <f>LN(B17)</f>
        <v>1.6094379124341003</v>
      </c>
    </row>
    <row r="70" spans="1:8" x14ac:dyDescent="0.3">
      <c r="A70" s="4">
        <v>5</v>
      </c>
      <c r="B70" s="4">
        <f t="shared" si="6"/>
        <v>4.0943445622221004</v>
      </c>
      <c r="C70" s="4">
        <f t="shared" si="7"/>
        <v>69</v>
      </c>
      <c r="D70" s="4">
        <f t="shared" si="10"/>
        <v>282.50977479332494</v>
      </c>
      <c r="E70" s="4">
        <f t="shared" si="8"/>
        <v>16.763657394197683</v>
      </c>
      <c r="F70" s="4">
        <f t="shared" si="9"/>
        <v>4761</v>
      </c>
    </row>
    <row r="71" spans="1:8" x14ac:dyDescent="0.3">
      <c r="A71" s="4">
        <v>6</v>
      </c>
      <c r="B71" s="4">
        <f t="shared" si="6"/>
        <v>4.499809670330265</v>
      </c>
      <c r="C71" s="4">
        <f t="shared" si="7"/>
        <v>73</v>
      </c>
      <c r="D71" s="4">
        <f t="shared" si="10"/>
        <v>328.48610593410933</v>
      </c>
      <c r="E71" s="4">
        <f t="shared" si="8"/>
        <v>20.248287069197769</v>
      </c>
      <c r="F71" s="4">
        <f t="shared" si="9"/>
        <v>5329</v>
      </c>
    </row>
    <row r="72" spans="1:8" x14ac:dyDescent="0.3">
      <c r="A72" s="4">
        <v>7</v>
      </c>
      <c r="B72" s="4">
        <f t="shared" si="6"/>
        <v>4.7874917427820458</v>
      </c>
      <c r="C72" s="4">
        <f t="shared" si="7"/>
        <v>76</v>
      </c>
      <c r="D72" s="4">
        <f t="shared" si="10"/>
        <v>363.8493724514355</v>
      </c>
      <c r="E72" s="4">
        <f t="shared" si="8"/>
        <v>22.920077187206271</v>
      </c>
      <c r="F72" s="4">
        <f t="shared" si="9"/>
        <v>5776</v>
      </c>
    </row>
    <row r="73" spans="1:8" x14ac:dyDescent="0.3">
      <c r="A73" s="5" t="s">
        <v>7</v>
      </c>
      <c r="B73" s="5">
        <f>SUM(B66:B72)</f>
        <v>24.906993960303197</v>
      </c>
      <c r="C73" s="5">
        <f>SUM(C66:C72)</f>
        <v>389</v>
      </c>
      <c r="D73" s="5">
        <f t="shared" ref="D73:F73" si="11">SUM(D66:D72)</f>
        <v>1527.7974931012022</v>
      </c>
      <c r="E73" s="5">
        <f t="shared" si="11"/>
        <v>95.914670876321551</v>
      </c>
      <c r="F73" s="5">
        <f t="shared" si="11"/>
        <v>24491</v>
      </c>
    </row>
  </sheetData>
  <mergeCells count="2">
    <mergeCell ref="L28:Q28"/>
    <mergeCell ref="K47:Q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mrsergey4476@gmail.com</cp:lastModifiedBy>
  <dcterms:created xsi:type="dcterms:W3CDTF">2015-06-05T18:19:34Z</dcterms:created>
  <dcterms:modified xsi:type="dcterms:W3CDTF">2025-11-30T21:05:41Z</dcterms:modified>
</cp:coreProperties>
</file>